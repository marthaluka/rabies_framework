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ie/Dropbox/People/PhDs/MarthaLuka/ModellingFramework/"/>
    </mc:Choice>
  </mc:AlternateContent>
  <xr:revisionPtr revIDLastSave="0" documentId="8_{C4E56A9A-0AB0-5648-93AA-43DBACCA0EB4}" xr6:coauthVersionLast="47" xr6:coauthVersionMax="47" xr10:uidLastSave="{00000000-0000-0000-0000-000000000000}"/>
  <bookViews>
    <workbookView xWindow="1180" yWindow="1500" windowWidth="34920" windowHeight="16220" xr2:uid="{217CD04B-0508-0F48-9039-8E2DD0547182}"/>
  </bookViews>
  <sheets>
    <sheet name="params" sheetId="1" r:id="rId1"/>
    <sheet name="working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2" l="1"/>
  <c r="T4" i="2"/>
  <c r="T5" i="2"/>
  <c r="T2" i="2"/>
  <c r="Z3" i="2"/>
  <c r="Z4" i="2"/>
  <c r="Z5" i="2"/>
  <c r="Z2" i="2"/>
  <c r="F3" i="2"/>
  <c r="G3" i="2"/>
  <c r="F4" i="2"/>
  <c r="H4" i="2" s="1"/>
  <c r="I4" i="2" s="1"/>
  <c r="G4" i="2"/>
  <c r="F5" i="2"/>
  <c r="G5" i="2"/>
  <c r="G2" i="2"/>
  <c r="F2" i="2"/>
  <c r="H3" i="2" l="1"/>
  <c r="Q3" i="2" s="1"/>
  <c r="S3" i="2" s="1"/>
  <c r="H2" i="2"/>
  <c r="Q4" i="2"/>
  <c r="S4" i="2" s="1"/>
  <c r="U4" i="2" s="1"/>
  <c r="I3" i="2"/>
  <c r="H5" i="2"/>
  <c r="Q2" i="2"/>
  <c r="I2" i="2"/>
  <c r="R3" i="2" l="1"/>
  <c r="I5" i="2"/>
  <c r="Q5" i="2"/>
  <c r="R4" i="2"/>
  <c r="U3" i="2"/>
  <c r="R2" i="2"/>
  <c r="S2" i="2"/>
  <c r="U2" i="2" s="1"/>
  <c r="S5" i="2" l="1"/>
  <c r="U5" i="2" s="1"/>
  <c r="R5" i="2"/>
</calcChain>
</file>

<file path=xl/sharedStrings.xml><?xml version="1.0" encoding="utf-8"?>
<sst xmlns="http://schemas.openxmlformats.org/spreadsheetml/2006/main" count="140" uniqueCount="52">
  <si>
    <t xml:space="preserve">Country </t>
  </si>
  <si>
    <t>Population</t>
  </si>
  <si>
    <t>HDR</t>
  </si>
  <si>
    <t>horizon</t>
  </si>
  <si>
    <t>mu</t>
  </si>
  <si>
    <t>k</t>
  </si>
  <si>
    <t>pBite_healthy</t>
  </si>
  <si>
    <t>pStart_healthy</t>
  </si>
  <si>
    <t>pSeek_healthy</t>
  </si>
  <si>
    <t>scenarios</t>
  </si>
  <si>
    <t>pComplete_healthy</t>
  </si>
  <si>
    <t>pSeek_exposure</t>
  </si>
  <si>
    <t>pStart_exposure</t>
  </si>
  <si>
    <t>pComplete_exposure</t>
  </si>
  <si>
    <t>pDeath</t>
  </si>
  <si>
    <t>pPrevent</t>
  </si>
  <si>
    <t>full_cost</t>
  </si>
  <si>
    <t>partial_cost</t>
  </si>
  <si>
    <t>mdv_campaign_budget</t>
  </si>
  <si>
    <t>base_vax_cov</t>
  </si>
  <si>
    <t>vaccinate_dog_cost</t>
  </si>
  <si>
    <t>target_vax_cov</t>
  </si>
  <si>
    <t>pInvestigate</t>
  </si>
  <si>
    <t>pFound</t>
  </si>
  <si>
    <t>pTestable</t>
  </si>
  <si>
    <t>pFP</t>
  </si>
  <si>
    <t>Tanzania</t>
  </si>
  <si>
    <t>Malawi</t>
  </si>
  <si>
    <t>Uganda</t>
  </si>
  <si>
    <t>base_low</t>
  </si>
  <si>
    <t>Kenya</t>
  </si>
  <si>
    <t>Country</t>
  </si>
  <si>
    <t>pop</t>
  </si>
  <si>
    <t>religion</t>
  </si>
  <si>
    <t>high HDR</t>
  </si>
  <si>
    <t>low HDR</t>
  </si>
  <si>
    <t>HD</t>
  </si>
  <si>
    <t>LD</t>
  </si>
  <si>
    <t>dogs</t>
  </si>
  <si>
    <t>NULL</t>
  </si>
  <si>
    <t>deaths</t>
  </si>
  <si>
    <t>rabid dogs</t>
  </si>
  <si>
    <t>exposed_patients</t>
  </si>
  <si>
    <t>healthy_patients</t>
  </si>
  <si>
    <t>total_patients</t>
  </si>
  <si>
    <t>confirmed</t>
  </si>
  <si>
    <t>imp_access</t>
  </si>
  <si>
    <t>base</t>
  </si>
  <si>
    <t>imp_access_MDV</t>
  </si>
  <si>
    <t>imp_access_low</t>
  </si>
  <si>
    <t>base_high</t>
  </si>
  <si>
    <t>imp_access_high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</si>
</sst>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49F6E-879F-1649-8DB9-7DB921232E7A}">
  <dimension ref="A1:Z29"/>
  <sheetViews>
    <sheetView tabSelected="1" zoomScale="161" zoomScaleNormal="161" workbookViewId="0">
      <pane xSplit="2" ySplit="1" topLeftCell="N18" activePane="bottomRight" state="frozen"/>
      <selection pane="topRight" activeCell="C1" sqref="C1"/>
      <selection pane="bottomLeft" activeCell="A2" sqref="A2"/>
      <selection pane="bottomRight" activeCell="O28" sqref="O28"/>
    </sheetView>
  </sheetViews>
  <sheetFormatPr baseColWidth="10" defaultRowHeight="16" x14ac:dyDescent="0.2"/>
  <cols>
    <col min="1" max="1" width="20" customWidth="1"/>
    <col min="2" max="2" width="9.83203125" customWidth="1"/>
    <col min="3" max="3" width="9.6640625" customWidth="1"/>
    <col min="4" max="4" width="6.1640625" customWidth="1"/>
    <col min="5" max="5" width="8.1640625" customWidth="1"/>
    <col min="6" max="6" width="5.83203125" customWidth="1"/>
    <col min="7" max="7" width="7.83203125" customWidth="1"/>
    <col min="8" max="8" width="12.1640625" customWidth="1"/>
    <col min="9" max="9" width="14.1640625" customWidth="1"/>
    <col min="10" max="10" width="7.6640625" customWidth="1"/>
    <col min="11" max="11" width="6.33203125" customWidth="1"/>
    <col min="12" max="12" width="13.5" customWidth="1"/>
  </cols>
  <sheetData>
    <row r="1" spans="1:26" x14ac:dyDescent="0.2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7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29</v>
      </c>
      <c r="B2" t="s">
        <v>26</v>
      </c>
      <c r="C2">
        <v>67500000</v>
      </c>
      <c r="D2">
        <v>15</v>
      </c>
      <c r="E2">
        <v>5</v>
      </c>
      <c r="H2" s="3">
        <v>0.01</v>
      </c>
      <c r="I2" s="3">
        <v>0.2</v>
      </c>
      <c r="J2">
        <v>1</v>
      </c>
      <c r="K2">
        <v>0.9</v>
      </c>
      <c r="L2">
        <v>0.75</v>
      </c>
      <c r="M2">
        <v>1</v>
      </c>
      <c r="N2">
        <v>0.9</v>
      </c>
      <c r="O2">
        <v>0.17</v>
      </c>
      <c r="P2">
        <v>0.98599999999999999</v>
      </c>
      <c r="Q2">
        <v>45</v>
      </c>
      <c r="R2">
        <v>25</v>
      </c>
      <c r="S2" t="s">
        <v>39</v>
      </c>
      <c r="T2">
        <v>0.05</v>
      </c>
      <c r="U2">
        <v>2.5</v>
      </c>
      <c r="V2">
        <v>0.05</v>
      </c>
      <c r="W2">
        <v>0.01</v>
      </c>
      <c r="X2">
        <v>0.25</v>
      </c>
      <c r="Y2">
        <v>0.75</v>
      </c>
      <c r="Z2">
        <v>2.5000000000000001E-2</v>
      </c>
    </row>
    <row r="3" spans="1:26" x14ac:dyDescent="0.2">
      <c r="A3" t="s">
        <v>29</v>
      </c>
      <c r="B3" t="s">
        <v>27</v>
      </c>
      <c r="C3">
        <v>22500000</v>
      </c>
      <c r="D3">
        <v>11</v>
      </c>
      <c r="E3">
        <v>5</v>
      </c>
      <c r="H3" s="3">
        <v>0.01</v>
      </c>
      <c r="I3" s="3">
        <v>0.2</v>
      </c>
      <c r="J3">
        <v>1</v>
      </c>
      <c r="K3">
        <v>0.9</v>
      </c>
      <c r="L3">
        <v>0.7</v>
      </c>
      <c r="M3">
        <v>1</v>
      </c>
      <c r="N3">
        <v>0.9</v>
      </c>
      <c r="O3">
        <v>0.17</v>
      </c>
      <c r="P3">
        <v>0.98599999999999999</v>
      </c>
      <c r="Q3">
        <v>45</v>
      </c>
      <c r="R3">
        <v>25</v>
      </c>
      <c r="S3" t="s">
        <v>39</v>
      </c>
      <c r="T3">
        <v>0.05</v>
      </c>
      <c r="U3">
        <v>2.5</v>
      </c>
      <c r="V3">
        <v>0.05</v>
      </c>
      <c r="W3">
        <v>0.01</v>
      </c>
      <c r="X3">
        <v>0.25</v>
      </c>
      <c r="Y3">
        <v>0.75</v>
      </c>
      <c r="Z3">
        <v>2.5000000000000001E-2</v>
      </c>
    </row>
    <row r="4" spans="1:26" x14ac:dyDescent="0.2">
      <c r="A4" t="s">
        <v>29</v>
      </c>
      <c r="B4" t="s">
        <v>28</v>
      </c>
      <c r="C4">
        <v>49300000</v>
      </c>
      <c r="D4">
        <v>11</v>
      </c>
      <c r="E4">
        <v>5</v>
      </c>
      <c r="H4" s="3">
        <v>0.01</v>
      </c>
      <c r="I4" s="3">
        <v>0.2</v>
      </c>
      <c r="J4">
        <v>1</v>
      </c>
      <c r="K4">
        <v>0.9</v>
      </c>
      <c r="L4">
        <v>0.75</v>
      </c>
      <c r="M4">
        <v>1</v>
      </c>
      <c r="N4">
        <v>0.9</v>
      </c>
      <c r="O4">
        <v>0.17</v>
      </c>
      <c r="P4">
        <v>0.98599999999999999</v>
      </c>
      <c r="Q4">
        <v>45</v>
      </c>
      <c r="R4">
        <v>25</v>
      </c>
      <c r="S4" t="s">
        <v>39</v>
      </c>
      <c r="T4">
        <v>0.05</v>
      </c>
      <c r="U4">
        <v>2.5</v>
      </c>
      <c r="V4">
        <v>0.05</v>
      </c>
      <c r="W4">
        <v>0.01</v>
      </c>
      <c r="X4">
        <v>0.25</v>
      </c>
      <c r="Y4">
        <v>0.75</v>
      </c>
      <c r="Z4">
        <v>2.5000000000000001E-2</v>
      </c>
    </row>
    <row r="5" spans="1:26" x14ac:dyDescent="0.2">
      <c r="A5" t="s">
        <v>29</v>
      </c>
      <c r="B5" t="s">
        <v>30</v>
      </c>
      <c r="C5">
        <v>55300000</v>
      </c>
      <c r="D5">
        <v>11</v>
      </c>
      <c r="E5">
        <v>5</v>
      </c>
      <c r="H5" s="3">
        <v>0.01</v>
      </c>
      <c r="I5" s="3">
        <v>0.2</v>
      </c>
      <c r="J5">
        <v>1</v>
      </c>
      <c r="K5">
        <v>0.9</v>
      </c>
      <c r="L5">
        <v>0.77</v>
      </c>
      <c r="M5">
        <v>1</v>
      </c>
      <c r="N5">
        <v>0.9</v>
      </c>
      <c r="O5">
        <v>0.17</v>
      </c>
      <c r="P5">
        <v>0.98599999999999999</v>
      </c>
      <c r="Q5">
        <v>45</v>
      </c>
      <c r="R5">
        <v>25</v>
      </c>
      <c r="S5" t="s">
        <v>39</v>
      </c>
      <c r="T5">
        <v>0.05</v>
      </c>
      <c r="U5">
        <v>2.5</v>
      </c>
      <c r="V5">
        <v>0.05</v>
      </c>
      <c r="W5">
        <v>0.01</v>
      </c>
      <c r="X5">
        <v>0.25</v>
      </c>
      <c r="Y5">
        <v>0.75</v>
      </c>
      <c r="Z5">
        <v>2.5000000000000001E-2</v>
      </c>
    </row>
    <row r="6" spans="1:26" x14ac:dyDescent="0.2">
      <c r="A6" t="s">
        <v>47</v>
      </c>
      <c r="B6" t="s">
        <v>26</v>
      </c>
      <c r="C6">
        <v>67500000</v>
      </c>
      <c r="D6">
        <v>15</v>
      </c>
      <c r="E6">
        <v>5</v>
      </c>
      <c r="H6" s="3">
        <v>0.01</v>
      </c>
      <c r="I6" s="3">
        <v>0.2</v>
      </c>
      <c r="J6">
        <v>1</v>
      </c>
      <c r="K6">
        <v>0.9</v>
      </c>
      <c r="L6">
        <v>0.75</v>
      </c>
      <c r="M6">
        <v>1</v>
      </c>
      <c r="N6">
        <v>0.9</v>
      </c>
      <c r="O6">
        <v>0.17</v>
      </c>
      <c r="P6">
        <v>0.98599999999999999</v>
      </c>
      <c r="Q6">
        <v>45</v>
      </c>
      <c r="R6">
        <v>25</v>
      </c>
      <c r="S6" t="s">
        <v>39</v>
      </c>
      <c r="T6">
        <v>0.1</v>
      </c>
      <c r="U6">
        <v>2.5</v>
      </c>
      <c r="V6">
        <v>0.1</v>
      </c>
      <c r="W6">
        <v>0.01</v>
      </c>
      <c r="X6">
        <v>0.25</v>
      </c>
      <c r="Y6">
        <v>0.75</v>
      </c>
      <c r="Z6">
        <v>2.5000000000000001E-2</v>
      </c>
    </row>
    <row r="7" spans="1:26" x14ac:dyDescent="0.2">
      <c r="A7" t="s">
        <v>47</v>
      </c>
      <c r="B7" t="s">
        <v>27</v>
      </c>
      <c r="C7">
        <v>22500000</v>
      </c>
      <c r="D7">
        <v>11</v>
      </c>
      <c r="E7">
        <v>5</v>
      </c>
      <c r="H7" s="3">
        <v>0.01</v>
      </c>
      <c r="I7" s="3">
        <v>0.2</v>
      </c>
      <c r="J7">
        <v>1</v>
      </c>
      <c r="K7">
        <v>0.9</v>
      </c>
      <c r="L7">
        <v>0.7</v>
      </c>
      <c r="M7">
        <v>1</v>
      </c>
      <c r="N7">
        <v>0.9</v>
      </c>
      <c r="O7">
        <v>0.17</v>
      </c>
      <c r="P7">
        <v>0.98599999999999999</v>
      </c>
      <c r="Q7">
        <v>45</v>
      </c>
      <c r="R7">
        <v>25</v>
      </c>
      <c r="S7" t="s">
        <v>39</v>
      </c>
      <c r="T7">
        <v>0.1</v>
      </c>
      <c r="U7">
        <v>2.5</v>
      </c>
      <c r="V7">
        <v>0.1</v>
      </c>
      <c r="W7">
        <v>0.01</v>
      </c>
      <c r="X7">
        <v>0.25</v>
      </c>
      <c r="Y7">
        <v>0.75</v>
      </c>
      <c r="Z7">
        <v>2.5000000000000001E-2</v>
      </c>
    </row>
    <row r="8" spans="1:26" x14ac:dyDescent="0.2">
      <c r="A8" t="s">
        <v>47</v>
      </c>
      <c r="B8" t="s">
        <v>28</v>
      </c>
      <c r="C8">
        <v>49300000</v>
      </c>
      <c r="D8">
        <v>11</v>
      </c>
      <c r="E8">
        <v>5</v>
      </c>
      <c r="H8" s="3">
        <v>0.01</v>
      </c>
      <c r="I8" s="3">
        <v>0.2</v>
      </c>
      <c r="J8">
        <v>1</v>
      </c>
      <c r="K8">
        <v>0.9</v>
      </c>
      <c r="L8">
        <v>0.75</v>
      </c>
      <c r="M8">
        <v>1</v>
      </c>
      <c r="N8">
        <v>0.9</v>
      </c>
      <c r="O8">
        <v>0.17</v>
      </c>
      <c r="P8">
        <v>0.98599999999999999</v>
      </c>
      <c r="Q8">
        <v>45</v>
      </c>
      <c r="R8">
        <v>25</v>
      </c>
      <c r="S8" t="s">
        <v>39</v>
      </c>
      <c r="T8">
        <v>0.1</v>
      </c>
      <c r="U8">
        <v>2.5</v>
      </c>
      <c r="V8">
        <v>0.1</v>
      </c>
      <c r="W8">
        <v>0.01</v>
      </c>
      <c r="X8">
        <v>0.25</v>
      </c>
      <c r="Y8">
        <v>0.75</v>
      </c>
      <c r="Z8">
        <v>2.5000000000000001E-2</v>
      </c>
    </row>
    <row r="9" spans="1:26" x14ac:dyDescent="0.2">
      <c r="A9" t="s">
        <v>47</v>
      </c>
      <c r="B9" t="s">
        <v>30</v>
      </c>
      <c r="C9">
        <v>55300000</v>
      </c>
      <c r="D9">
        <v>11</v>
      </c>
      <c r="E9">
        <v>5</v>
      </c>
      <c r="H9" s="3">
        <v>0.01</v>
      </c>
      <c r="I9" s="3">
        <v>0.2</v>
      </c>
      <c r="J9">
        <v>1</v>
      </c>
      <c r="K9">
        <v>0.9</v>
      </c>
      <c r="L9">
        <v>0.77</v>
      </c>
      <c r="M9">
        <v>1</v>
      </c>
      <c r="N9">
        <v>0.9</v>
      </c>
      <c r="O9">
        <v>0.17</v>
      </c>
      <c r="P9">
        <v>0.98599999999999999</v>
      </c>
      <c r="Q9">
        <v>45</v>
      </c>
      <c r="R9">
        <v>25</v>
      </c>
      <c r="S9" t="s">
        <v>39</v>
      </c>
      <c r="T9">
        <v>0.1</v>
      </c>
      <c r="U9">
        <v>2.5</v>
      </c>
      <c r="V9">
        <v>0.1</v>
      </c>
      <c r="W9">
        <v>0.01</v>
      </c>
      <c r="X9">
        <v>0.25</v>
      </c>
      <c r="Y9">
        <v>0.75</v>
      </c>
      <c r="Z9">
        <v>2.5000000000000001E-2</v>
      </c>
    </row>
    <row r="10" spans="1:26" x14ac:dyDescent="0.2">
      <c r="A10" t="s">
        <v>50</v>
      </c>
      <c r="B10" t="s">
        <v>26</v>
      </c>
      <c r="C10">
        <v>67500000</v>
      </c>
      <c r="D10">
        <v>15</v>
      </c>
      <c r="E10">
        <v>5</v>
      </c>
      <c r="H10" s="3">
        <v>0.01</v>
      </c>
      <c r="I10" s="3">
        <v>0.2</v>
      </c>
      <c r="J10">
        <v>1</v>
      </c>
      <c r="K10">
        <v>0.9</v>
      </c>
      <c r="L10">
        <v>0.75</v>
      </c>
      <c r="M10">
        <v>1</v>
      </c>
      <c r="N10">
        <v>0.9</v>
      </c>
      <c r="O10">
        <v>0.17</v>
      </c>
      <c r="P10">
        <v>0.98599999999999999</v>
      </c>
      <c r="Q10">
        <v>45</v>
      </c>
      <c r="R10">
        <v>25</v>
      </c>
      <c r="S10" t="s">
        <v>39</v>
      </c>
      <c r="T10">
        <v>0.2</v>
      </c>
      <c r="U10">
        <v>2.5</v>
      </c>
      <c r="V10">
        <v>0.2</v>
      </c>
      <c r="W10">
        <v>0.2</v>
      </c>
      <c r="X10">
        <v>0.25</v>
      </c>
      <c r="Y10">
        <v>0.75</v>
      </c>
      <c r="Z10">
        <v>2.5000000000000001E-2</v>
      </c>
    </row>
    <row r="11" spans="1:26" x14ac:dyDescent="0.2">
      <c r="A11" t="s">
        <v>50</v>
      </c>
      <c r="B11" t="s">
        <v>27</v>
      </c>
      <c r="C11">
        <v>22500000</v>
      </c>
      <c r="D11">
        <v>11</v>
      </c>
      <c r="E11">
        <v>5</v>
      </c>
      <c r="H11" s="3">
        <v>0.01</v>
      </c>
      <c r="I11" s="3">
        <v>0.2</v>
      </c>
      <c r="J11">
        <v>1</v>
      </c>
      <c r="K11">
        <v>0.9</v>
      </c>
      <c r="L11">
        <v>0.7</v>
      </c>
      <c r="M11">
        <v>1</v>
      </c>
      <c r="N11">
        <v>0.9</v>
      </c>
      <c r="O11">
        <v>0.17</v>
      </c>
      <c r="P11">
        <v>0.98599999999999999</v>
      </c>
      <c r="Q11">
        <v>45</v>
      </c>
      <c r="R11">
        <v>25</v>
      </c>
      <c r="S11" t="s">
        <v>39</v>
      </c>
      <c r="T11">
        <v>0.2</v>
      </c>
      <c r="U11">
        <v>2.5</v>
      </c>
      <c r="V11">
        <v>0.2</v>
      </c>
      <c r="W11">
        <v>0.2</v>
      </c>
      <c r="X11">
        <v>0.25</v>
      </c>
      <c r="Y11">
        <v>0.75</v>
      </c>
      <c r="Z11">
        <v>2.5000000000000001E-2</v>
      </c>
    </row>
    <row r="12" spans="1:26" x14ac:dyDescent="0.2">
      <c r="A12" t="s">
        <v>50</v>
      </c>
      <c r="B12" t="s">
        <v>28</v>
      </c>
      <c r="C12">
        <v>49300000</v>
      </c>
      <c r="D12">
        <v>11</v>
      </c>
      <c r="E12">
        <v>5</v>
      </c>
      <c r="H12" s="3">
        <v>0.01</v>
      </c>
      <c r="I12" s="3">
        <v>0.2</v>
      </c>
      <c r="J12">
        <v>1</v>
      </c>
      <c r="K12">
        <v>0.9</v>
      </c>
      <c r="L12">
        <v>0.75</v>
      </c>
      <c r="M12">
        <v>1</v>
      </c>
      <c r="N12">
        <v>0.9</v>
      </c>
      <c r="O12">
        <v>0.17</v>
      </c>
      <c r="P12">
        <v>0.98599999999999999</v>
      </c>
      <c r="Q12">
        <v>45</v>
      </c>
      <c r="R12">
        <v>25</v>
      </c>
      <c r="S12" t="s">
        <v>39</v>
      </c>
      <c r="T12">
        <v>0.2</v>
      </c>
      <c r="U12">
        <v>2.5</v>
      </c>
      <c r="V12">
        <v>0.2</v>
      </c>
      <c r="W12">
        <v>0.2</v>
      </c>
      <c r="X12">
        <v>0.25</v>
      </c>
      <c r="Y12">
        <v>0.75</v>
      </c>
      <c r="Z12">
        <v>2.5000000000000001E-2</v>
      </c>
    </row>
    <row r="13" spans="1:26" x14ac:dyDescent="0.2">
      <c r="A13" t="s">
        <v>50</v>
      </c>
      <c r="B13" t="s">
        <v>30</v>
      </c>
      <c r="C13">
        <v>55300000</v>
      </c>
      <c r="D13">
        <v>11</v>
      </c>
      <c r="E13">
        <v>5</v>
      </c>
      <c r="H13" s="3">
        <v>0.01</v>
      </c>
      <c r="I13" s="3">
        <v>0.2</v>
      </c>
      <c r="J13">
        <v>1</v>
      </c>
      <c r="K13">
        <v>0.9</v>
      </c>
      <c r="L13">
        <v>0.77</v>
      </c>
      <c r="M13">
        <v>1</v>
      </c>
      <c r="N13">
        <v>0.9</v>
      </c>
      <c r="O13">
        <v>0.17</v>
      </c>
      <c r="P13">
        <v>0.98599999999999999</v>
      </c>
      <c r="Q13">
        <v>45</v>
      </c>
      <c r="R13">
        <v>25</v>
      </c>
      <c r="S13" t="s">
        <v>39</v>
      </c>
      <c r="T13">
        <v>0.2</v>
      </c>
      <c r="U13">
        <v>2.5</v>
      </c>
      <c r="V13">
        <v>0.2</v>
      </c>
      <c r="W13">
        <v>0.2</v>
      </c>
      <c r="X13">
        <v>0.25</v>
      </c>
      <c r="Y13">
        <v>0.75</v>
      </c>
      <c r="Z13">
        <v>2.5000000000000001E-2</v>
      </c>
    </row>
    <row r="14" spans="1:26" x14ac:dyDescent="0.2">
      <c r="A14" t="s">
        <v>46</v>
      </c>
      <c r="B14" t="s">
        <v>26</v>
      </c>
      <c r="C14">
        <v>67500000</v>
      </c>
      <c r="D14">
        <v>15</v>
      </c>
      <c r="E14">
        <v>5</v>
      </c>
      <c r="H14" s="3">
        <v>0.01</v>
      </c>
      <c r="I14" s="3">
        <v>0.4</v>
      </c>
      <c r="J14">
        <v>1</v>
      </c>
      <c r="K14" s="3">
        <v>0.8</v>
      </c>
      <c r="L14" s="3">
        <v>0.9</v>
      </c>
      <c r="M14">
        <v>1</v>
      </c>
      <c r="N14" s="3">
        <v>0.95</v>
      </c>
      <c r="O14">
        <v>0.17</v>
      </c>
      <c r="P14">
        <v>0.98599999999999999</v>
      </c>
      <c r="Q14">
        <v>45</v>
      </c>
      <c r="R14">
        <v>25</v>
      </c>
      <c r="S14" t="s">
        <v>39</v>
      </c>
      <c r="T14">
        <v>0.1</v>
      </c>
      <c r="U14">
        <v>2.5</v>
      </c>
      <c r="V14">
        <v>0.1</v>
      </c>
      <c r="W14">
        <v>0.1</v>
      </c>
      <c r="X14">
        <v>0.25</v>
      </c>
      <c r="Y14">
        <v>0.75</v>
      </c>
      <c r="Z14">
        <v>2.5000000000000001E-2</v>
      </c>
    </row>
    <row r="15" spans="1:26" x14ac:dyDescent="0.2">
      <c r="A15" t="s">
        <v>46</v>
      </c>
      <c r="B15" t="s">
        <v>27</v>
      </c>
      <c r="C15">
        <v>22500000</v>
      </c>
      <c r="D15">
        <v>11</v>
      </c>
      <c r="E15">
        <v>5</v>
      </c>
      <c r="H15" s="3">
        <v>0.01</v>
      </c>
      <c r="I15" s="3">
        <v>0.4</v>
      </c>
      <c r="J15">
        <v>1</v>
      </c>
      <c r="K15" s="3">
        <v>0.8</v>
      </c>
      <c r="L15" s="3">
        <v>0.9</v>
      </c>
      <c r="M15">
        <v>1</v>
      </c>
      <c r="N15" s="3">
        <v>0.95</v>
      </c>
      <c r="O15">
        <v>0.17</v>
      </c>
      <c r="P15">
        <v>0.98599999999999999</v>
      </c>
      <c r="Q15">
        <v>45</v>
      </c>
      <c r="R15">
        <v>25</v>
      </c>
      <c r="S15" t="s">
        <v>39</v>
      </c>
      <c r="T15">
        <v>0.1</v>
      </c>
      <c r="U15">
        <v>2.5</v>
      </c>
      <c r="V15">
        <v>0.1</v>
      </c>
      <c r="W15">
        <v>0.1</v>
      </c>
      <c r="X15">
        <v>0.25</v>
      </c>
      <c r="Y15">
        <v>0.75</v>
      </c>
      <c r="Z15">
        <v>2.5000000000000001E-2</v>
      </c>
    </row>
    <row r="16" spans="1:26" x14ac:dyDescent="0.2">
      <c r="A16" t="s">
        <v>46</v>
      </c>
      <c r="B16" t="s">
        <v>28</v>
      </c>
      <c r="C16">
        <v>49300000</v>
      </c>
      <c r="D16">
        <v>11</v>
      </c>
      <c r="E16">
        <v>5</v>
      </c>
      <c r="H16" s="3">
        <v>0.01</v>
      </c>
      <c r="I16" s="3">
        <v>0.4</v>
      </c>
      <c r="J16">
        <v>1</v>
      </c>
      <c r="K16" s="3">
        <v>0.8</v>
      </c>
      <c r="L16" s="3">
        <v>0.9</v>
      </c>
      <c r="M16">
        <v>1</v>
      </c>
      <c r="N16" s="3">
        <v>0.95</v>
      </c>
      <c r="O16">
        <v>0.17</v>
      </c>
      <c r="P16">
        <v>0.98599999999999999</v>
      </c>
      <c r="Q16">
        <v>45</v>
      </c>
      <c r="R16">
        <v>25</v>
      </c>
      <c r="S16" t="s">
        <v>39</v>
      </c>
      <c r="T16">
        <v>0.1</v>
      </c>
      <c r="U16">
        <v>2.5</v>
      </c>
      <c r="V16">
        <v>0.1</v>
      </c>
      <c r="W16">
        <v>0.1</v>
      </c>
      <c r="X16">
        <v>0.25</v>
      </c>
      <c r="Y16">
        <v>0.75</v>
      </c>
      <c r="Z16">
        <v>2.5000000000000001E-2</v>
      </c>
    </row>
    <row r="17" spans="1:26" x14ac:dyDescent="0.2">
      <c r="A17" t="s">
        <v>46</v>
      </c>
      <c r="B17" t="s">
        <v>30</v>
      </c>
      <c r="C17">
        <v>55300000</v>
      </c>
      <c r="D17">
        <v>11</v>
      </c>
      <c r="E17">
        <v>5</v>
      </c>
      <c r="H17" s="3">
        <v>0.01</v>
      </c>
      <c r="I17" s="3">
        <v>0.4</v>
      </c>
      <c r="J17">
        <v>1</v>
      </c>
      <c r="K17" s="3">
        <v>0.8</v>
      </c>
      <c r="L17" s="3">
        <v>0.9</v>
      </c>
      <c r="M17">
        <v>1</v>
      </c>
      <c r="N17" s="3">
        <v>0.95</v>
      </c>
      <c r="O17">
        <v>0.17</v>
      </c>
      <c r="P17">
        <v>0.98599999999999999</v>
      </c>
      <c r="Q17">
        <v>45</v>
      </c>
      <c r="R17">
        <v>25</v>
      </c>
      <c r="S17" t="s">
        <v>39</v>
      </c>
      <c r="T17">
        <v>0.1</v>
      </c>
      <c r="U17">
        <v>2.5</v>
      </c>
      <c r="V17">
        <v>0.1</v>
      </c>
      <c r="W17">
        <v>0.1</v>
      </c>
      <c r="X17">
        <v>0.25</v>
      </c>
      <c r="Y17">
        <v>0.75</v>
      </c>
      <c r="Z17">
        <v>2.5000000000000001E-2</v>
      </c>
    </row>
    <row r="18" spans="1:26" x14ac:dyDescent="0.2">
      <c r="A18" t="s">
        <v>49</v>
      </c>
      <c r="B18" t="s">
        <v>26</v>
      </c>
      <c r="C18">
        <v>67500000</v>
      </c>
      <c r="D18">
        <v>15</v>
      </c>
      <c r="E18">
        <v>5</v>
      </c>
      <c r="H18" s="3">
        <v>0.01</v>
      </c>
      <c r="I18" s="3">
        <v>0.4</v>
      </c>
      <c r="J18">
        <v>1</v>
      </c>
      <c r="K18" s="3">
        <v>0.8</v>
      </c>
      <c r="L18" s="3">
        <v>0.9</v>
      </c>
      <c r="M18">
        <v>1</v>
      </c>
      <c r="N18" s="3">
        <v>0.95</v>
      </c>
      <c r="O18">
        <v>0.17</v>
      </c>
      <c r="P18">
        <v>0.98599999999999999</v>
      </c>
      <c r="Q18">
        <v>45</v>
      </c>
      <c r="R18">
        <v>25</v>
      </c>
      <c r="S18" t="s">
        <v>39</v>
      </c>
      <c r="T18">
        <v>0.05</v>
      </c>
      <c r="U18">
        <v>2.5</v>
      </c>
      <c r="V18">
        <v>0.05</v>
      </c>
      <c r="W18">
        <v>0.1</v>
      </c>
      <c r="X18">
        <v>0.25</v>
      </c>
      <c r="Y18">
        <v>0.75</v>
      </c>
      <c r="Z18">
        <v>2.5000000000000001E-2</v>
      </c>
    </row>
    <row r="19" spans="1:26" x14ac:dyDescent="0.2">
      <c r="A19" t="s">
        <v>49</v>
      </c>
      <c r="B19" t="s">
        <v>27</v>
      </c>
      <c r="C19">
        <v>22500000</v>
      </c>
      <c r="D19">
        <v>11</v>
      </c>
      <c r="E19">
        <v>5</v>
      </c>
      <c r="H19" s="3">
        <v>0.01</v>
      </c>
      <c r="I19" s="3">
        <v>0.4</v>
      </c>
      <c r="J19">
        <v>1</v>
      </c>
      <c r="K19" s="3">
        <v>0.8</v>
      </c>
      <c r="L19" s="3">
        <v>0.9</v>
      </c>
      <c r="M19">
        <v>1</v>
      </c>
      <c r="N19" s="3">
        <v>0.95</v>
      </c>
      <c r="O19">
        <v>0.17</v>
      </c>
      <c r="P19">
        <v>0.98599999999999999</v>
      </c>
      <c r="Q19">
        <v>45</v>
      </c>
      <c r="R19">
        <v>25</v>
      </c>
      <c r="S19" t="s">
        <v>39</v>
      </c>
      <c r="T19">
        <v>0.05</v>
      </c>
      <c r="U19">
        <v>2.5</v>
      </c>
      <c r="V19">
        <v>0.05</v>
      </c>
      <c r="W19">
        <v>0.1</v>
      </c>
      <c r="X19">
        <v>0.25</v>
      </c>
      <c r="Y19">
        <v>0.75</v>
      </c>
      <c r="Z19">
        <v>2.5000000000000001E-2</v>
      </c>
    </row>
    <row r="20" spans="1:26" x14ac:dyDescent="0.2">
      <c r="A20" t="s">
        <v>49</v>
      </c>
      <c r="B20" t="s">
        <v>28</v>
      </c>
      <c r="C20">
        <v>49300000</v>
      </c>
      <c r="D20">
        <v>11</v>
      </c>
      <c r="E20">
        <v>5</v>
      </c>
      <c r="H20" s="3">
        <v>0.01</v>
      </c>
      <c r="I20" s="3">
        <v>0.4</v>
      </c>
      <c r="J20">
        <v>1</v>
      </c>
      <c r="K20" s="3">
        <v>0.8</v>
      </c>
      <c r="L20" s="3">
        <v>0.9</v>
      </c>
      <c r="M20">
        <v>1</v>
      </c>
      <c r="N20" s="3">
        <v>0.95</v>
      </c>
      <c r="O20">
        <v>0.17</v>
      </c>
      <c r="P20">
        <v>0.98599999999999999</v>
      </c>
      <c r="Q20">
        <v>45</v>
      </c>
      <c r="R20">
        <v>25</v>
      </c>
      <c r="S20" t="s">
        <v>39</v>
      </c>
      <c r="T20">
        <v>0.05</v>
      </c>
      <c r="U20">
        <v>2.5</v>
      </c>
      <c r="V20">
        <v>0.05</v>
      </c>
      <c r="W20">
        <v>0.1</v>
      </c>
      <c r="X20">
        <v>0.25</v>
      </c>
      <c r="Y20">
        <v>0.75</v>
      </c>
      <c r="Z20">
        <v>2.5000000000000001E-2</v>
      </c>
    </row>
    <row r="21" spans="1:26" x14ac:dyDescent="0.2">
      <c r="A21" t="s">
        <v>49</v>
      </c>
      <c r="B21" t="s">
        <v>30</v>
      </c>
      <c r="C21">
        <v>55300000</v>
      </c>
      <c r="D21">
        <v>11</v>
      </c>
      <c r="E21">
        <v>5</v>
      </c>
      <c r="H21" s="3">
        <v>0.01</v>
      </c>
      <c r="I21" s="3">
        <v>0.4</v>
      </c>
      <c r="J21">
        <v>1</v>
      </c>
      <c r="K21" s="3">
        <v>0.8</v>
      </c>
      <c r="L21" s="3">
        <v>0.9</v>
      </c>
      <c r="M21">
        <v>1</v>
      </c>
      <c r="N21" s="3">
        <v>0.95</v>
      </c>
      <c r="O21">
        <v>0.17</v>
      </c>
      <c r="P21">
        <v>0.98599999999999999</v>
      </c>
      <c r="Q21">
        <v>45</v>
      </c>
      <c r="R21">
        <v>25</v>
      </c>
      <c r="S21" t="s">
        <v>39</v>
      </c>
      <c r="T21">
        <v>0.05</v>
      </c>
      <c r="U21">
        <v>2.5</v>
      </c>
      <c r="V21">
        <v>0.05</v>
      </c>
      <c r="W21">
        <v>0.1</v>
      </c>
      <c r="X21">
        <v>0.25</v>
      </c>
      <c r="Y21">
        <v>0.75</v>
      </c>
      <c r="Z21">
        <v>2.5000000000000001E-2</v>
      </c>
    </row>
    <row r="22" spans="1:26" x14ac:dyDescent="0.2">
      <c r="A22" t="s">
        <v>51</v>
      </c>
      <c r="B22" t="s">
        <v>26</v>
      </c>
      <c r="C22">
        <v>67500000</v>
      </c>
      <c r="D22">
        <v>15</v>
      </c>
      <c r="E22">
        <v>5</v>
      </c>
      <c r="H22" s="3">
        <v>0.01</v>
      </c>
      <c r="I22" s="3">
        <v>0.4</v>
      </c>
      <c r="J22">
        <v>1</v>
      </c>
      <c r="K22" s="3">
        <v>0.8</v>
      </c>
      <c r="L22" s="3">
        <v>0.9</v>
      </c>
      <c r="M22">
        <v>1</v>
      </c>
      <c r="N22" s="3">
        <v>0.95</v>
      </c>
      <c r="O22">
        <v>0.17</v>
      </c>
      <c r="P22">
        <v>0.98599999999999999</v>
      </c>
      <c r="Q22">
        <v>45</v>
      </c>
      <c r="R22">
        <v>25</v>
      </c>
      <c r="S22" t="s">
        <v>39</v>
      </c>
      <c r="T22">
        <v>0.2</v>
      </c>
      <c r="U22">
        <v>2.5</v>
      </c>
      <c r="V22">
        <v>0.2</v>
      </c>
      <c r="W22">
        <v>0.1</v>
      </c>
      <c r="X22">
        <v>0.25</v>
      </c>
      <c r="Y22">
        <v>0.75</v>
      </c>
      <c r="Z22">
        <v>2.5000000000000001E-2</v>
      </c>
    </row>
    <row r="23" spans="1:26" x14ac:dyDescent="0.2">
      <c r="A23" t="s">
        <v>51</v>
      </c>
      <c r="B23" t="s">
        <v>27</v>
      </c>
      <c r="C23">
        <v>22500000</v>
      </c>
      <c r="D23">
        <v>11</v>
      </c>
      <c r="E23">
        <v>5</v>
      </c>
      <c r="H23" s="3">
        <v>0.01</v>
      </c>
      <c r="I23" s="3">
        <v>0.4</v>
      </c>
      <c r="J23">
        <v>1</v>
      </c>
      <c r="K23" s="3">
        <v>0.8</v>
      </c>
      <c r="L23" s="3">
        <v>0.9</v>
      </c>
      <c r="M23">
        <v>1</v>
      </c>
      <c r="N23" s="3">
        <v>0.95</v>
      </c>
      <c r="O23">
        <v>0.17</v>
      </c>
      <c r="P23">
        <v>0.98599999999999999</v>
      </c>
      <c r="Q23">
        <v>45</v>
      </c>
      <c r="R23">
        <v>25</v>
      </c>
      <c r="S23" t="s">
        <v>39</v>
      </c>
      <c r="T23">
        <v>0.2</v>
      </c>
      <c r="U23">
        <v>2.5</v>
      </c>
      <c r="V23">
        <v>0.2</v>
      </c>
      <c r="W23">
        <v>0.1</v>
      </c>
      <c r="X23">
        <v>0.25</v>
      </c>
      <c r="Y23">
        <v>0.75</v>
      </c>
      <c r="Z23">
        <v>2.5000000000000001E-2</v>
      </c>
    </row>
    <row r="24" spans="1:26" x14ac:dyDescent="0.2">
      <c r="A24" t="s">
        <v>51</v>
      </c>
      <c r="B24" t="s">
        <v>28</v>
      </c>
      <c r="C24">
        <v>49300000</v>
      </c>
      <c r="D24">
        <v>11</v>
      </c>
      <c r="E24">
        <v>5</v>
      </c>
      <c r="H24" s="3">
        <v>0.01</v>
      </c>
      <c r="I24" s="3">
        <v>0.4</v>
      </c>
      <c r="J24">
        <v>1</v>
      </c>
      <c r="K24" s="3">
        <v>0.8</v>
      </c>
      <c r="L24" s="3">
        <v>0.9</v>
      </c>
      <c r="M24">
        <v>1</v>
      </c>
      <c r="N24" s="3">
        <v>0.95</v>
      </c>
      <c r="O24">
        <v>0.17</v>
      </c>
      <c r="P24">
        <v>0.98599999999999999</v>
      </c>
      <c r="Q24">
        <v>45</v>
      </c>
      <c r="R24">
        <v>25</v>
      </c>
      <c r="S24" t="s">
        <v>39</v>
      </c>
      <c r="T24">
        <v>0.2</v>
      </c>
      <c r="U24">
        <v>2.5</v>
      </c>
      <c r="V24">
        <v>0.2</v>
      </c>
      <c r="W24">
        <v>0.1</v>
      </c>
      <c r="X24">
        <v>0.25</v>
      </c>
      <c r="Y24">
        <v>0.75</v>
      </c>
      <c r="Z24">
        <v>2.5000000000000001E-2</v>
      </c>
    </row>
    <row r="25" spans="1:26" x14ac:dyDescent="0.2">
      <c r="A25" t="s">
        <v>51</v>
      </c>
      <c r="B25" t="s">
        <v>30</v>
      </c>
      <c r="C25">
        <v>55300000</v>
      </c>
      <c r="D25">
        <v>11</v>
      </c>
      <c r="E25">
        <v>5</v>
      </c>
      <c r="H25" s="3">
        <v>0.01</v>
      </c>
      <c r="I25" s="3">
        <v>0.4</v>
      </c>
      <c r="J25">
        <v>1</v>
      </c>
      <c r="K25" s="3">
        <v>0.8</v>
      </c>
      <c r="L25" s="3">
        <v>0.9</v>
      </c>
      <c r="M25">
        <v>1</v>
      </c>
      <c r="N25" s="3">
        <v>0.95</v>
      </c>
      <c r="O25">
        <v>0.17</v>
      </c>
      <c r="P25">
        <v>0.98599999999999999</v>
      </c>
      <c r="Q25">
        <v>45</v>
      </c>
      <c r="R25">
        <v>25</v>
      </c>
      <c r="S25" t="s">
        <v>39</v>
      </c>
      <c r="T25">
        <v>0.2</v>
      </c>
      <c r="U25">
        <v>2.5</v>
      </c>
      <c r="V25">
        <v>0.2</v>
      </c>
      <c r="W25">
        <v>0.1</v>
      </c>
      <c r="X25">
        <v>0.25</v>
      </c>
      <c r="Y25">
        <v>0.75</v>
      </c>
      <c r="Z25">
        <v>2.5000000000000001E-2</v>
      </c>
    </row>
    <row r="26" spans="1:26" x14ac:dyDescent="0.2">
      <c r="A26" t="s">
        <v>48</v>
      </c>
      <c r="B26" t="s">
        <v>26</v>
      </c>
      <c r="C26">
        <v>67500000</v>
      </c>
      <c r="D26">
        <v>15</v>
      </c>
      <c r="E26">
        <v>5</v>
      </c>
      <c r="H26" s="3">
        <v>0.01</v>
      </c>
      <c r="I26" s="3">
        <v>0.4</v>
      </c>
      <c r="J26">
        <v>1</v>
      </c>
      <c r="K26" s="3">
        <v>0.8</v>
      </c>
      <c r="L26" s="3">
        <v>0.9</v>
      </c>
      <c r="M26">
        <v>1</v>
      </c>
      <c r="N26" s="3">
        <v>0.95</v>
      </c>
      <c r="O26">
        <v>0.17</v>
      </c>
      <c r="P26">
        <v>0.98599999999999999</v>
      </c>
      <c r="Q26">
        <v>45</v>
      </c>
      <c r="R26">
        <v>25</v>
      </c>
      <c r="S26" t="s">
        <v>39</v>
      </c>
      <c r="T26">
        <v>0.1</v>
      </c>
      <c r="U26">
        <v>2.5</v>
      </c>
      <c r="V26">
        <v>0.3</v>
      </c>
      <c r="W26">
        <v>0.1</v>
      </c>
      <c r="X26">
        <v>0.25</v>
      </c>
      <c r="Y26">
        <v>0.75</v>
      </c>
      <c r="Z26">
        <v>2.5000000000000001E-2</v>
      </c>
    </row>
    <row r="27" spans="1:26" x14ac:dyDescent="0.2">
      <c r="A27" t="s">
        <v>48</v>
      </c>
      <c r="B27" t="s">
        <v>27</v>
      </c>
      <c r="C27">
        <v>22500000</v>
      </c>
      <c r="D27">
        <v>11</v>
      </c>
      <c r="E27">
        <v>5</v>
      </c>
      <c r="H27" s="3">
        <v>0.01</v>
      </c>
      <c r="I27" s="3">
        <v>0.4</v>
      </c>
      <c r="J27">
        <v>1</v>
      </c>
      <c r="K27" s="3">
        <v>0.8</v>
      </c>
      <c r="L27" s="3">
        <v>0.9</v>
      </c>
      <c r="M27">
        <v>1</v>
      </c>
      <c r="N27" s="3">
        <v>0.95</v>
      </c>
      <c r="O27">
        <v>0.17</v>
      </c>
      <c r="P27">
        <v>0.98599999999999999</v>
      </c>
      <c r="Q27">
        <v>45</v>
      </c>
      <c r="R27">
        <v>25</v>
      </c>
      <c r="S27" t="s">
        <v>39</v>
      </c>
      <c r="T27">
        <v>0.1</v>
      </c>
      <c r="U27">
        <v>2.5</v>
      </c>
      <c r="V27">
        <v>0.3</v>
      </c>
      <c r="W27">
        <v>0.1</v>
      </c>
      <c r="X27">
        <v>0.25</v>
      </c>
      <c r="Y27">
        <v>0.75</v>
      </c>
      <c r="Z27">
        <v>2.5000000000000001E-2</v>
      </c>
    </row>
    <row r="28" spans="1:26" x14ac:dyDescent="0.2">
      <c r="A28" t="s">
        <v>48</v>
      </c>
      <c r="B28" t="s">
        <v>28</v>
      </c>
      <c r="C28">
        <v>49300000</v>
      </c>
      <c r="D28">
        <v>11</v>
      </c>
      <c r="E28">
        <v>5</v>
      </c>
      <c r="H28" s="3">
        <v>0.01</v>
      </c>
      <c r="I28" s="3">
        <v>0.4</v>
      </c>
      <c r="J28">
        <v>1</v>
      </c>
      <c r="K28" s="3">
        <v>0.8</v>
      </c>
      <c r="L28" s="3">
        <v>0.9</v>
      </c>
      <c r="M28">
        <v>1</v>
      </c>
      <c r="N28" s="3">
        <v>0.95</v>
      </c>
      <c r="O28">
        <v>0.17</v>
      </c>
      <c r="P28">
        <v>0.98599999999999999</v>
      </c>
      <c r="Q28">
        <v>45</v>
      </c>
      <c r="R28">
        <v>25</v>
      </c>
      <c r="S28" t="s">
        <v>39</v>
      </c>
      <c r="T28">
        <v>0.1</v>
      </c>
      <c r="U28">
        <v>2.5</v>
      </c>
      <c r="V28">
        <v>0.3</v>
      </c>
      <c r="W28">
        <v>0.1</v>
      </c>
      <c r="X28">
        <v>0.25</v>
      </c>
      <c r="Y28">
        <v>0.75</v>
      </c>
      <c r="Z28">
        <v>2.5000000000000001E-2</v>
      </c>
    </row>
    <row r="29" spans="1:26" x14ac:dyDescent="0.2">
      <c r="A29" t="s">
        <v>48</v>
      </c>
      <c r="B29" t="s">
        <v>30</v>
      </c>
      <c r="C29">
        <v>55300000</v>
      </c>
      <c r="D29">
        <v>11</v>
      </c>
      <c r="E29">
        <v>5</v>
      </c>
      <c r="H29" s="3">
        <v>0.01</v>
      </c>
      <c r="I29" s="3">
        <v>0.4</v>
      </c>
      <c r="J29">
        <v>1</v>
      </c>
      <c r="K29" s="3">
        <v>0.8</v>
      </c>
      <c r="L29" s="3">
        <v>0.9</v>
      </c>
      <c r="M29">
        <v>1</v>
      </c>
      <c r="N29" s="3">
        <v>0.95</v>
      </c>
      <c r="O29">
        <v>0.17</v>
      </c>
      <c r="P29">
        <v>0.98599999999999999</v>
      </c>
      <c r="Q29">
        <v>45</v>
      </c>
      <c r="R29">
        <v>25</v>
      </c>
      <c r="S29" t="s">
        <v>39</v>
      </c>
      <c r="T29">
        <v>0.1</v>
      </c>
      <c r="U29">
        <v>2.5</v>
      </c>
      <c r="V29">
        <v>0.3</v>
      </c>
      <c r="W29">
        <v>0.1</v>
      </c>
      <c r="X29">
        <v>0.25</v>
      </c>
      <c r="Y29">
        <v>0.75</v>
      </c>
      <c r="Z29">
        <v>2.5000000000000001E-2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F8CFE-DF6F-5B44-A26F-58E5867A703A}">
  <dimension ref="A1:Z5"/>
  <sheetViews>
    <sheetView topLeftCell="M1" zoomScale="190" zoomScaleNormal="190" workbookViewId="0">
      <selection activeCell="U2" sqref="U2"/>
    </sheetView>
  </sheetViews>
  <sheetFormatPr baseColWidth="10" defaultRowHeight="16" x14ac:dyDescent="0.2"/>
  <cols>
    <col min="6" max="6" width="11.1640625" bestFit="1" customWidth="1"/>
    <col min="16" max="16" width="12.6640625" customWidth="1"/>
    <col min="23" max="23" width="7.6640625" customWidth="1"/>
    <col min="24" max="24" width="9.1640625" customWidth="1"/>
  </cols>
  <sheetData>
    <row r="1" spans="1:26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s="2" t="s">
        <v>38</v>
      </c>
      <c r="I1" t="s">
        <v>2</v>
      </c>
      <c r="J1" s="1" t="s">
        <v>6</v>
      </c>
      <c r="K1" s="1" t="s">
        <v>8</v>
      </c>
      <c r="L1" s="1" t="s">
        <v>7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41</v>
      </c>
      <c r="R1" s="1" t="s">
        <v>40</v>
      </c>
      <c r="S1" s="1" t="s">
        <v>42</v>
      </c>
      <c r="T1" s="1" t="s">
        <v>43</v>
      </c>
      <c r="U1" s="1" t="s">
        <v>44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45</v>
      </c>
    </row>
    <row r="2" spans="1:26" x14ac:dyDescent="0.2">
      <c r="A2" t="s">
        <v>26</v>
      </c>
      <c r="B2">
        <v>67500000</v>
      </c>
      <c r="C2">
        <v>0.61</v>
      </c>
      <c r="D2">
        <v>50</v>
      </c>
      <c r="E2">
        <v>10</v>
      </c>
      <c r="F2">
        <f>(B2 * C2 / E2)</f>
        <v>4117500</v>
      </c>
      <c r="G2">
        <f>(B2 * (1-C2) / D2)</f>
        <v>526500</v>
      </c>
      <c r="H2" s="2">
        <f>F2+G2</f>
        <v>4644000</v>
      </c>
      <c r="I2">
        <f>B2/H2</f>
        <v>14.534883720930232</v>
      </c>
      <c r="J2">
        <v>0.01</v>
      </c>
      <c r="K2">
        <v>0.2</v>
      </c>
      <c r="L2">
        <v>1</v>
      </c>
      <c r="M2">
        <v>0.9</v>
      </c>
      <c r="N2">
        <v>0.75</v>
      </c>
      <c r="O2">
        <v>1</v>
      </c>
      <c r="P2">
        <v>0.9</v>
      </c>
      <c r="Q2">
        <f>H2*0.01*0.7</f>
        <v>32507.999999999996</v>
      </c>
      <c r="R2">
        <f>(Q2*0.38*(1-N2)) *0.17</f>
        <v>525.00419999999997</v>
      </c>
      <c r="S2">
        <f>(Q2 * 0.38 * N2)</f>
        <v>9264.7799999999988</v>
      </c>
      <c r="T2">
        <f>H2*J2*K2</f>
        <v>9288</v>
      </c>
      <c r="U2">
        <f>S2+T2</f>
        <v>18552.78</v>
      </c>
      <c r="V2">
        <v>0.1</v>
      </c>
      <c r="W2">
        <v>0.25</v>
      </c>
      <c r="X2">
        <v>0.75</v>
      </c>
      <c r="Y2">
        <v>2.5000000000000001E-2</v>
      </c>
      <c r="Z2">
        <f>Q2*V2*W2*X2</f>
        <v>609.52499999999998</v>
      </c>
    </row>
    <row r="3" spans="1:26" x14ac:dyDescent="0.2">
      <c r="A3" t="s">
        <v>27</v>
      </c>
      <c r="B3">
        <v>22500000</v>
      </c>
      <c r="C3">
        <v>0.86</v>
      </c>
      <c r="D3">
        <v>50</v>
      </c>
      <c r="E3">
        <v>10</v>
      </c>
      <c r="F3">
        <f t="shared" ref="F3:F5" si="0">(B3 * C3 / E3)</f>
        <v>1935000</v>
      </c>
      <c r="G3">
        <f t="shared" ref="G3:G5" si="1">(B3 * (1-C3) / D3)</f>
        <v>63000.000000000007</v>
      </c>
      <c r="H3" s="2">
        <f t="shared" ref="H3:H5" si="2">F3+G3</f>
        <v>1998000</v>
      </c>
      <c r="I3">
        <f t="shared" ref="I3:I5" si="3">B3/H3</f>
        <v>11.261261261261261</v>
      </c>
      <c r="J3">
        <v>0.01</v>
      </c>
      <c r="K3">
        <v>0.2</v>
      </c>
      <c r="L3">
        <v>1</v>
      </c>
      <c r="M3">
        <v>0.9</v>
      </c>
      <c r="N3">
        <v>0.75</v>
      </c>
      <c r="O3">
        <v>1</v>
      </c>
      <c r="P3">
        <v>0.9</v>
      </c>
      <c r="Q3">
        <f t="shared" ref="Q3:Q5" si="4">H3*0.01*0.7</f>
        <v>13986</v>
      </c>
      <c r="R3">
        <f t="shared" ref="R3:R5" si="5">(Q3*0.38*(1-N3)) *0.17</f>
        <v>225.87390000000002</v>
      </c>
      <c r="S3">
        <f t="shared" ref="S3:S5" si="6">(Q3 * 0.38 * N3)</f>
        <v>3986.01</v>
      </c>
      <c r="T3">
        <f t="shared" ref="T3:T5" si="7">H3*J3*K3</f>
        <v>3996</v>
      </c>
      <c r="U3">
        <f t="shared" ref="U3:U5" si="8">S3+T3</f>
        <v>7982.01</v>
      </c>
      <c r="V3">
        <v>0.1</v>
      </c>
      <c r="W3">
        <v>0.25</v>
      </c>
      <c r="X3">
        <v>0.75</v>
      </c>
      <c r="Y3">
        <v>2.5000000000000001E-2</v>
      </c>
      <c r="Z3">
        <f t="shared" ref="Z3:Z5" si="9">Q3*V3*W3*X3</f>
        <v>262.23750000000001</v>
      </c>
    </row>
    <row r="4" spans="1:26" x14ac:dyDescent="0.2">
      <c r="A4" t="s">
        <v>28</v>
      </c>
      <c r="B4">
        <v>49300000</v>
      </c>
      <c r="C4">
        <v>0.85</v>
      </c>
      <c r="D4">
        <v>50</v>
      </c>
      <c r="E4">
        <v>10</v>
      </c>
      <c r="F4">
        <f t="shared" si="0"/>
        <v>4190500</v>
      </c>
      <c r="G4">
        <f t="shared" si="1"/>
        <v>147900.00000000003</v>
      </c>
      <c r="H4" s="2">
        <f t="shared" si="2"/>
        <v>4338400</v>
      </c>
      <c r="I4">
        <f t="shared" si="3"/>
        <v>11.363636363636363</v>
      </c>
      <c r="J4">
        <v>0.01</v>
      </c>
      <c r="K4">
        <v>0.2</v>
      </c>
      <c r="L4">
        <v>1</v>
      </c>
      <c r="M4">
        <v>0.9</v>
      </c>
      <c r="N4">
        <v>0.75</v>
      </c>
      <c r="O4">
        <v>1</v>
      </c>
      <c r="P4">
        <v>0.9</v>
      </c>
      <c r="Q4">
        <f t="shared" si="4"/>
        <v>30368.799999999999</v>
      </c>
      <c r="R4">
        <f t="shared" si="5"/>
        <v>490.45612000000006</v>
      </c>
      <c r="S4">
        <f t="shared" si="6"/>
        <v>8655.1080000000002</v>
      </c>
      <c r="T4">
        <f t="shared" si="7"/>
        <v>8676.8000000000011</v>
      </c>
      <c r="U4">
        <f t="shared" si="8"/>
        <v>17331.908000000003</v>
      </c>
      <c r="V4">
        <v>0.1</v>
      </c>
      <c r="W4">
        <v>0.25</v>
      </c>
      <c r="X4">
        <v>0.75</v>
      </c>
      <c r="Y4">
        <v>2.5000000000000001E-2</v>
      </c>
      <c r="Z4">
        <f t="shared" si="9"/>
        <v>569.41499999999996</v>
      </c>
    </row>
    <row r="5" spans="1:26" x14ac:dyDescent="0.2">
      <c r="A5" t="s">
        <v>30</v>
      </c>
      <c r="B5">
        <v>55300000</v>
      </c>
      <c r="C5">
        <v>0.85</v>
      </c>
      <c r="D5">
        <v>50</v>
      </c>
      <c r="E5">
        <v>10</v>
      </c>
      <c r="F5">
        <f t="shared" si="0"/>
        <v>4700500</v>
      </c>
      <c r="G5">
        <f t="shared" si="1"/>
        <v>165900.00000000003</v>
      </c>
      <c r="H5" s="2">
        <f t="shared" si="2"/>
        <v>4866400</v>
      </c>
      <c r="I5">
        <f t="shared" si="3"/>
        <v>11.363636363636363</v>
      </c>
      <c r="J5">
        <v>0.01</v>
      </c>
      <c r="K5">
        <v>0.2</v>
      </c>
      <c r="L5">
        <v>1</v>
      </c>
      <c r="M5">
        <v>0.9</v>
      </c>
      <c r="N5">
        <v>0.75</v>
      </c>
      <c r="O5">
        <v>1</v>
      </c>
      <c r="P5">
        <v>0.9</v>
      </c>
      <c r="Q5">
        <f t="shared" si="4"/>
        <v>34064.799999999996</v>
      </c>
      <c r="R5">
        <f t="shared" si="5"/>
        <v>550.14652000000001</v>
      </c>
      <c r="S5">
        <f t="shared" si="6"/>
        <v>9708.4679999999989</v>
      </c>
      <c r="T5">
        <f t="shared" si="7"/>
        <v>9732.8000000000011</v>
      </c>
      <c r="U5">
        <f t="shared" si="8"/>
        <v>19441.268</v>
      </c>
      <c r="V5">
        <v>0.1</v>
      </c>
      <c r="W5">
        <v>0.25</v>
      </c>
      <c r="X5">
        <v>0.75</v>
      </c>
      <c r="Y5">
        <v>2.5000000000000001E-2</v>
      </c>
      <c r="Z5">
        <f t="shared" si="9"/>
        <v>638.71499999999992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params</vt:lpstr>
      <vt:lpstr>workings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Hampson</dc:creator>
  <cp:lastModifiedBy>Katie Hampson</cp:lastModifiedBy>
  <dcterms:created xsi:type="dcterms:W3CDTF">2025-11-14T12:15:01Z</dcterms:created>
  <dcterms:modified xsi:type="dcterms:W3CDTF">2025-11-14T13:13:05Z</dcterms:modified>
</cp:coreProperties>
</file>